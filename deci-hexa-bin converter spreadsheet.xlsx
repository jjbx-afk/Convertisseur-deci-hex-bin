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<sst xmlns="http://schemas.openxmlformats.org/spreadsheetml/2006/main" count="83" uniqueCount="68">
  <si>
    <t>b</t>
  </si>
  <si>
    <t>binaire a deci</t>
  </si>
  <si>
    <t>3 groupes de chiffres binaire</t>
  </si>
  <si>
    <t xml:space="preserve">     Convertisseur décimal</t>
  </si>
  <si>
    <t xml:space="preserve"> Convertisseur Binaire</t>
  </si>
  <si>
    <t>Entrez un nombre décimal :</t>
  </si>
  <si>
    <t xml:space="preserve">look up dans le tableau </t>
  </si>
  <si>
    <t>Entrez un nombre Binaire :</t>
  </si>
  <si>
    <t>Résultats</t>
  </si>
  <si>
    <t>Binaire</t>
  </si>
  <si>
    <t>Hexadécimal</t>
  </si>
  <si>
    <t>validation avec function :</t>
  </si>
  <si>
    <t>Décimal</t>
  </si>
  <si>
    <t xml:space="preserve"> Convertisseur Hexadécimal</t>
  </si>
  <si>
    <t>Entrez un nombre Hexadécimal :</t>
  </si>
  <si>
    <t>3D01</t>
  </si>
  <si>
    <t>binaire a hexa</t>
  </si>
  <si>
    <t>look up valeurs de G</t>
  </si>
  <si>
    <t>décimal</t>
  </si>
  <si>
    <t>look up valeurs de V</t>
  </si>
  <si>
    <t xml:space="preserve"> </t>
  </si>
  <si>
    <t>Decimal</t>
  </si>
  <si>
    <t>Binary</t>
  </si>
  <si>
    <t>Hex</t>
  </si>
  <si>
    <t>Segment of the string</t>
  </si>
  <si>
    <t>hex to binary</t>
  </si>
  <si>
    <t>0</t>
  </si>
  <si>
    <t>0000</t>
  </si>
  <si>
    <t>1</t>
  </si>
  <si>
    <t>0001</t>
  </si>
  <si>
    <t>2</t>
  </si>
  <si>
    <t>0010</t>
  </si>
  <si>
    <t>3</t>
  </si>
  <si>
    <t>0011</t>
  </si>
  <si>
    <t>4</t>
  </si>
  <si>
    <t>0100</t>
  </si>
  <si>
    <t>hex to decimal</t>
  </si>
  <si>
    <t>binary to decimal</t>
  </si>
  <si>
    <t>power of 16</t>
  </si>
  <si>
    <t>5</t>
  </si>
  <si>
    <t>0101</t>
  </si>
  <si>
    <t>6</t>
  </si>
  <si>
    <t>0110</t>
  </si>
  <si>
    <t>7</t>
  </si>
  <si>
    <t>0111</t>
  </si>
  <si>
    <t>8</t>
  </si>
  <si>
    <t>1000</t>
  </si>
  <si>
    <t>9</t>
  </si>
  <si>
    <t>1001</t>
  </si>
  <si>
    <t>10</t>
  </si>
  <si>
    <t>1010</t>
  </si>
  <si>
    <t>A</t>
  </si>
  <si>
    <t>11</t>
  </si>
  <si>
    <t>1011</t>
  </si>
  <si>
    <t>B</t>
  </si>
  <si>
    <t>12</t>
  </si>
  <si>
    <t>1100</t>
  </si>
  <si>
    <t>C</t>
  </si>
  <si>
    <t>13</t>
  </si>
  <si>
    <t>1101</t>
  </si>
  <si>
    <t>D</t>
  </si>
  <si>
    <t>14</t>
  </si>
  <si>
    <t>1110</t>
  </si>
  <si>
    <t>E</t>
  </si>
  <si>
    <t>15</t>
  </si>
  <si>
    <t>1111</t>
  </si>
  <si>
    <t>F</t>
  </si>
  <si>
    <t>deci a binaire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</si>
</sst>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&quot;Arial&quot;"/>
    </font>
    <font>
      <sz val="16.0"/>
      <color theme="1"/>
      <name val="Arial"/>
      <scheme val="minor"/>
    </font>
    <font/>
    <font>
      <sz val="9.0"/>
      <color rgb="FFF7981D"/>
      <name val="Arial"/>
      <scheme val="minor"/>
    </font>
    <font>
      <sz val="16.0"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sz val="9.0"/>
      <color rgb="FF000000"/>
      <name val="Arial"/>
      <scheme val="minor"/>
    </font>
    <font>
      <b/>
      <sz val="12.0"/>
      <color theme="1"/>
      <name val="Arial"/>
    </font>
    <font>
      <sz val="9.0"/>
      <color theme="1"/>
      <name val="Arial"/>
      <scheme val="minor"/>
    </font>
    <font>
      <sz val="9.0"/>
      <color rgb="FF11A9CC"/>
      <name val="Arial"/>
      <scheme val="minor"/>
    </font>
    <font>
      <color rgb="FF000000"/>
      <name val="&quot;Arial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2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0" xfId="0" applyFont="1"/>
    <xf borderId="1" fillId="3" fontId="1" numFmtId="0" xfId="0" applyBorder="1" applyFill="1" applyFont="1"/>
    <xf borderId="2" fillId="3" fontId="1" numFmtId="0" xfId="0" applyBorder="1" applyFont="1"/>
    <xf borderId="3" fillId="3" fontId="1" numFmtId="0" xfId="0" applyBorder="1" applyFont="1"/>
    <xf borderId="1" fillId="2" fontId="6" numFmtId="0" xfId="0" applyAlignment="1" applyBorder="1" applyFont="1">
      <alignment horizontal="center" readingOrder="0" vertical="center"/>
    </xf>
    <xf borderId="7" fillId="3" fontId="1" numFmtId="0" xfId="0" applyBorder="1" applyFont="1"/>
    <xf borderId="0" fillId="3" fontId="1" numFmtId="0" xfId="0" applyAlignment="1" applyFont="1">
      <alignment readingOrder="0"/>
    </xf>
    <xf borderId="0" fillId="3" fontId="1" numFmtId="0" xfId="0" applyFont="1"/>
    <xf borderId="8" fillId="2" fontId="1" numFmtId="0" xfId="0" applyAlignment="1" applyBorder="1" applyFont="1">
      <alignment horizontal="center" readingOrder="0"/>
    </xf>
    <xf borderId="9" fillId="3" fontId="1" numFmtId="0" xfId="0" applyBorder="1" applyFont="1"/>
    <xf borderId="4" fillId="3" fontId="1" numFmtId="0" xfId="0" applyBorder="1" applyFont="1"/>
    <xf borderId="5" fillId="3" fontId="1" numFmtId="0" xfId="0" applyBorder="1" applyFont="1"/>
    <xf borderId="6" fillId="3" fontId="1" numFmtId="0" xfId="0" applyBorder="1" applyFont="1"/>
    <xf borderId="7" fillId="3" fontId="7" numFmtId="0" xfId="0" applyAlignment="1" applyBorder="1" applyFont="1">
      <alignment horizontal="center" readingOrder="0" vertical="center"/>
    </xf>
    <xf borderId="0" fillId="3" fontId="7" numFmtId="0" xfId="0" applyAlignment="1" applyFont="1">
      <alignment vertical="bottom"/>
    </xf>
    <xf borderId="0" fillId="3" fontId="7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0" fontId="5" numFmtId="49" xfId="0" applyFont="1" applyNumberFormat="1"/>
    <xf borderId="2" fillId="3" fontId="8" numFmtId="0" xfId="0" applyAlignment="1" applyBorder="1" applyFont="1">
      <alignment horizontal="center" readingOrder="0"/>
    </xf>
    <xf borderId="7" fillId="0" fontId="4" numFmtId="0" xfId="0" applyBorder="1" applyFont="1"/>
    <xf borderId="10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12" fillId="0" fontId="7" numFmtId="0" xfId="0" applyAlignment="1" applyBorder="1" applyFont="1">
      <alignment horizontal="center" readingOrder="0" vertical="bottom"/>
    </xf>
    <xf borderId="0" fillId="3" fontId="1" numFmtId="0" xfId="0" applyAlignment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0" fillId="2" fontId="1" numFmtId="49" xfId="0" applyFont="1" applyNumberFormat="1"/>
    <xf borderId="7" fillId="3" fontId="1" numFmtId="0" xfId="0" applyAlignment="1" applyBorder="1" applyFont="1">
      <alignment horizontal="center" readingOrder="0"/>
    </xf>
    <xf borderId="0" fillId="4" fontId="9" numFmtId="0" xfId="0" applyAlignment="1" applyFill="1" applyFont="1">
      <alignment horizontal="center"/>
    </xf>
    <xf borderId="5" fillId="3" fontId="7" numFmtId="0" xfId="0" applyAlignment="1" applyBorder="1" applyFont="1">
      <alignment vertical="bottom"/>
    </xf>
    <xf borderId="5" fillId="3" fontId="1" numFmtId="0" xfId="0" applyAlignment="1" applyBorder="1" applyFont="1">
      <alignment horizontal="center"/>
    </xf>
    <xf borderId="1" fillId="3" fontId="10" numFmtId="0" xfId="0" applyAlignment="1" applyBorder="1" applyFont="1">
      <alignment horizontal="center" readingOrder="0" vertical="center"/>
    </xf>
    <xf borderId="2" fillId="3" fontId="10" numFmtId="0" xfId="0" applyAlignment="1" applyBorder="1" applyFont="1">
      <alignment horizontal="center" vertical="bottom"/>
    </xf>
    <xf borderId="13" fillId="3" fontId="1" numFmtId="0" xfId="0" applyAlignment="1" applyBorder="1" applyFont="1">
      <alignment horizontal="center" readingOrder="0"/>
    </xf>
    <xf borderId="7" fillId="3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vertical="bottom"/>
    </xf>
    <xf borderId="13" fillId="3" fontId="11" numFmtId="0" xfId="0" applyAlignment="1" applyBorder="1" applyFont="1">
      <alignment horizontal="center"/>
    </xf>
    <xf borderId="7" fillId="4" fontId="7" numFmtId="0" xfId="0" applyAlignment="1" applyBorder="1" applyFont="1">
      <alignment horizontal="center" readingOrder="0" vertical="bottom"/>
    </xf>
    <xf borderId="9" fillId="0" fontId="4" numFmtId="0" xfId="0" applyBorder="1" applyFont="1"/>
    <xf borderId="13" fillId="3" fontId="9" numFmtId="0" xfId="0" applyAlignment="1" applyBorder="1" applyFont="1">
      <alignment horizontal="center"/>
    </xf>
    <xf borderId="0" fillId="2" fontId="7" numFmtId="0" xfId="0" applyAlignment="1" applyFont="1">
      <alignment vertical="bottom"/>
    </xf>
    <xf borderId="1" fillId="2" fontId="6" numFmtId="0" xfId="0" applyAlignment="1" applyBorder="1" applyFont="1">
      <alignment horizontal="center"/>
    </xf>
    <xf borderId="0" fillId="0" fontId="7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2" fillId="3" fontId="7" numFmtId="0" xfId="0" applyAlignment="1" applyBorder="1" applyFont="1">
      <alignment vertical="bottom"/>
    </xf>
    <xf borderId="2" fillId="3" fontId="7" numFmtId="0" xfId="0" applyAlignment="1" applyBorder="1" applyFont="1">
      <alignment vertical="bottom"/>
    </xf>
    <xf borderId="3" fillId="3" fontId="7" numFmtId="0" xfId="0" applyAlignment="1" applyBorder="1" applyFont="1">
      <alignment vertical="bottom"/>
    </xf>
    <xf borderId="7" fillId="3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bottom"/>
    </xf>
    <xf borderId="9" fillId="3" fontId="7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6" fillId="3" fontId="7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0" fillId="0" fontId="12" numFmtId="0" xfId="0" applyFont="1"/>
    <xf borderId="8" fillId="4" fontId="7" numFmtId="0" xfId="0" applyAlignment="1" applyBorder="1" applyFont="1">
      <alignment horizontal="center" vertical="bottom"/>
    </xf>
    <xf borderId="0" fillId="0" fontId="12" numFmtId="0" xfId="0" applyAlignment="1" applyFont="1">
      <alignment readingOrder="0"/>
    </xf>
    <xf borderId="0" fillId="0" fontId="12" numFmtId="49" xfId="0" applyAlignment="1" applyFont="1" applyNumberFormat="1">
      <alignment readingOrder="0"/>
    </xf>
    <xf borderId="0" fillId="0" fontId="13" numFmtId="0" xfId="0" applyAlignment="1" applyFont="1">
      <alignment readingOrder="0"/>
    </xf>
    <xf borderId="8" fillId="0" fontId="1" numFmtId="49" xfId="0" applyAlignment="1" applyBorder="1" applyFont="1" applyNumberFormat="1">
      <alignment readingOrder="0"/>
    </xf>
    <xf borderId="0" fillId="0" fontId="1" numFmtId="0" xfId="0" applyFont="1"/>
    <xf borderId="0" fillId="0" fontId="7" numFmtId="49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8" fillId="0" fontId="1" numFmtId="49" xfId="0" applyAlignment="1" applyBorder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7" numFmtId="0" xfId="0" applyAlignment="1" applyFont="1">
      <alignment horizontal="right" readingOrder="0" vertical="bottom"/>
    </xf>
    <xf borderId="0" fillId="0" fontId="1" numFmtId="49" xfId="0" applyFont="1" applyNumberFormat="1"/>
    <xf borderId="0" fillId="0" fontId="1" numFmtId="49" xfId="0" applyFont="1" applyNumberFormat="1"/>
    <xf borderId="8" fillId="0" fontId="1" numFmtId="0" xfId="0" applyAlignment="1" applyBorder="1" applyFont="1">
      <alignment readingOrder="0"/>
    </xf>
    <xf borderId="0" fillId="0" fontId="1" numFmtId="0" xfId="0" applyFont="1"/>
    <xf borderId="8" fillId="0" fontId="1" numFmtId="0" xfId="0" applyBorder="1" applyFont="1"/>
    <xf borderId="8" fillId="0" fontId="1" numFmtId="0" xfId="0" applyAlignment="1" applyBorder="1" applyFont="1">
      <alignment readingOrder="0"/>
    </xf>
    <xf borderId="8" fillId="0" fontId="7" numFmtId="0" xfId="0" applyAlignment="1" applyBorder="1" applyFont="1">
      <alignment horizontal="right" vertical="bottom"/>
    </xf>
    <xf borderId="8" fillId="0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K24:M39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3.25"/>
    <col customWidth="1" min="3" max="3" width="19.13"/>
    <col customWidth="1" min="4" max="4" width="17.88"/>
    <col customWidth="1" min="5" max="5" width="10.63"/>
    <col customWidth="1" min="6" max="6" width="15.25"/>
    <col customWidth="1" min="7" max="7" width="15.13"/>
    <col customWidth="1" min="8" max="8" width="5.88"/>
    <col customWidth="1" min="9" max="9" width="5.75"/>
    <col customWidth="1" min="10" max="10" width="16.25"/>
    <col customWidth="1" min="12" max="12" width="9.63"/>
    <col customWidth="1" min="13" max="23" width="4.25"/>
    <col customWidth="1" min="24" max="24" width="22.0"/>
  </cols>
  <sheetData>
    <row r="1">
      <c r="A1" s="1" t="s">
        <v>0</v>
      </c>
      <c r="M1" s="2"/>
    </row>
    <row r="2">
      <c r="A2" s="1" t="s">
        <v>1</v>
      </c>
    </row>
    <row r="3">
      <c r="A3" s="3" t="s">
        <v>2</v>
      </c>
      <c r="B3" s="4"/>
      <c r="C3" s="5" t="s">
        <v>3</v>
      </c>
      <c r="D3" s="6"/>
      <c r="E3" s="6"/>
      <c r="F3" s="6"/>
      <c r="G3" s="7"/>
    </row>
    <row r="4" ht="22.5" customHeight="1">
      <c r="A4" s="4" t="str">
        <f>MID(F9,1,4)</f>
        <v>0000</v>
      </c>
      <c r="B4" s="4"/>
      <c r="C4" s="8"/>
      <c r="D4" s="9"/>
      <c r="E4" s="9"/>
      <c r="F4" s="9"/>
      <c r="G4" s="10"/>
    </row>
    <row r="5" ht="19.5" customHeight="1">
      <c r="A5" s="11" t="str">
        <f>MID(F9,5,4)</f>
        <v>0000</v>
      </c>
      <c r="C5" s="12"/>
      <c r="D5" s="13"/>
      <c r="E5" s="13"/>
      <c r="F5" s="13"/>
      <c r="G5" s="14"/>
      <c r="I5" s="15" t="s">
        <v>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"/>
    </row>
    <row r="6" ht="19.5" customHeight="1">
      <c r="A6" s="11" t="str">
        <f>MID(F9,9,4)</f>
        <v>1100</v>
      </c>
      <c r="C6" s="16"/>
      <c r="D6" s="17" t="s">
        <v>5</v>
      </c>
      <c r="E6" s="18"/>
      <c r="F6" s="19">
        <v>12.0</v>
      </c>
      <c r="G6" s="20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ht="19.5" customHeight="1">
      <c r="A7" s="3" t="s">
        <v>6</v>
      </c>
      <c r="C7" s="21"/>
      <c r="D7" s="22"/>
      <c r="E7" s="22"/>
      <c r="F7" s="22"/>
      <c r="G7" s="23"/>
      <c r="I7" s="24" t="s">
        <v>7</v>
      </c>
      <c r="M7" s="25"/>
      <c r="N7" s="26">
        <v>128.0</v>
      </c>
      <c r="O7" s="26">
        <v>64.0</v>
      </c>
      <c r="P7" s="27">
        <v>32.0</v>
      </c>
      <c r="Q7" s="27">
        <v>16.0</v>
      </c>
      <c r="R7" s="28"/>
      <c r="S7" s="27">
        <v>8.0</v>
      </c>
      <c r="T7" s="27">
        <v>4.0</v>
      </c>
      <c r="U7" s="27">
        <v>2.0</v>
      </c>
      <c r="V7" s="27">
        <v>1.0</v>
      </c>
      <c r="W7" s="14"/>
      <c r="X7" s="14"/>
    </row>
    <row r="8" ht="19.5" customHeight="1">
      <c r="A8" s="29" t="str">
        <f>LOOKUP(A4,L24:L39,M24:M39)</f>
        <v>0</v>
      </c>
      <c r="B8" s="4"/>
      <c r="C8" s="30" t="s">
        <v>8</v>
      </c>
      <c r="D8" s="6"/>
      <c r="E8" s="6"/>
      <c r="F8" s="6"/>
      <c r="G8" s="7"/>
      <c r="I8" s="31"/>
      <c r="M8" s="25"/>
      <c r="N8" s="32">
        <v>1.0</v>
      </c>
      <c r="O8" s="33">
        <v>0.0</v>
      </c>
      <c r="P8" s="33">
        <v>1.0</v>
      </c>
      <c r="Q8" s="34">
        <v>0.0</v>
      </c>
      <c r="R8" s="35"/>
      <c r="S8" s="36">
        <v>0.0</v>
      </c>
      <c r="T8" s="37">
        <v>0.0</v>
      </c>
      <c r="U8" s="37">
        <v>1.0</v>
      </c>
      <c r="V8" s="37">
        <v>0.0</v>
      </c>
      <c r="W8" s="20"/>
      <c r="X8" s="20"/>
    </row>
    <row r="9" ht="19.5" customHeight="1">
      <c r="A9" s="38" t="str">
        <f>LOOKUP(A5,L24:L39,M24:M39)</f>
        <v>0</v>
      </c>
      <c r="C9" s="39" t="s">
        <v>9</v>
      </c>
      <c r="E9" s="18"/>
      <c r="F9" s="40" t="str">
        <f>CONCATENATE(H47,I47,J47,K47,L47,M47,N47,O47,P47,Q47,R47,S47)</f>
        <v>000000001100</v>
      </c>
      <c r="G9" s="20"/>
      <c r="I9" s="8"/>
      <c r="J9" s="9"/>
      <c r="K9" s="9"/>
      <c r="L9" s="9"/>
      <c r="M9" s="41"/>
      <c r="N9" s="42">
        <f t="shared" ref="N9:Q9" si="1">N7*N8</f>
        <v>128</v>
      </c>
      <c r="O9" s="42">
        <f t="shared" si="1"/>
        <v>0</v>
      </c>
      <c r="P9" s="42">
        <f t="shared" si="1"/>
        <v>32</v>
      </c>
      <c r="Q9" s="42">
        <f t="shared" si="1"/>
        <v>0</v>
      </c>
      <c r="R9" s="42"/>
      <c r="S9" s="42">
        <f t="shared" ref="S9:V9" si="2">S7*S8</f>
        <v>0</v>
      </c>
      <c r="T9" s="42">
        <f t="shared" si="2"/>
        <v>0</v>
      </c>
      <c r="U9" s="42">
        <f t="shared" si="2"/>
        <v>2</v>
      </c>
      <c r="V9" s="42">
        <f t="shared" si="2"/>
        <v>0</v>
      </c>
      <c r="W9" s="20"/>
      <c r="X9" s="23"/>
    </row>
    <row r="10" ht="19.5" customHeight="1">
      <c r="A10" s="11" t="str">
        <f>LOOKUP(A6,L24:L39,M24:M39)</f>
        <v>C</v>
      </c>
      <c r="C10" s="39" t="s">
        <v>10</v>
      </c>
      <c r="E10" s="18"/>
      <c r="F10" s="40" t="str">
        <f>CONCATENATE(A8,A9,A10,)</f>
        <v>00C</v>
      </c>
      <c r="G10" s="20"/>
      <c r="I10" s="43" t="s">
        <v>8</v>
      </c>
      <c r="J10" s="6"/>
      <c r="K10" s="6"/>
      <c r="L10" s="6"/>
      <c r="M10" s="44"/>
      <c r="N10" s="6"/>
      <c r="O10" s="6"/>
      <c r="P10" s="6"/>
      <c r="Q10" s="6"/>
      <c r="R10" s="6"/>
      <c r="S10" s="6"/>
      <c r="T10" s="6"/>
      <c r="U10" s="6"/>
      <c r="V10" s="6"/>
      <c r="W10" s="6"/>
      <c r="X10" s="45" t="s">
        <v>11</v>
      </c>
    </row>
    <row r="11" ht="19.5" customHeight="1">
      <c r="A11" s="4"/>
      <c r="C11" s="21"/>
      <c r="D11" s="22"/>
      <c r="E11" s="22"/>
      <c r="F11" s="9"/>
      <c r="G11" s="10"/>
      <c r="I11" s="46" t="s">
        <v>12</v>
      </c>
      <c r="M11" s="47">
        <f>SUM(N9:V9)</f>
        <v>162</v>
      </c>
      <c r="N11" s="6"/>
      <c r="O11" s="6"/>
      <c r="P11" s="6"/>
      <c r="Q11" s="6"/>
      <c r="R11" s="6"/>
      <c r="S11" s="6"/>
      <c r="T11" s="6"/>
      <c r="U11" s="6"/>
      <c r="V11" s="7"/>
      <c r="W11" s="18"/>
      <c r="X11" s="48">
        <f>BIN2DEC(CONCATENATE(N8,O8,P8,Q8,S8,T8,U8,V8))</f>
        <v>162</v>
      </c>
    </row>
    <row r="12" ht="19.5" customHeight="1">
      <c r="A12" s="11"/>
      <c r="I12" s="46" t="s">
        <v>10</v>
      </c>
      <c r="M12" s="49" t="str">
        <f>CONCATENATE(K20,K21)</f>
        <v>A2</v>
      </c>
      <c r="V12" s="50"/>
      <c r="W12" s="18"/>
      <c r="X12" s="51" t="str">
        <f>BIN2HEX(CONCATENATE(N8,O8,P8,Q8,S8,T8,U8,V8))</f>
        <v>A2</v>
      </c>
    </row>
    <row r="13" ht="19.5" customHeight="1">
      <c r="A13" s="4"/>
      <c r="I13" s="21"/>
      <c r="J13" s="9"/>
      <c r="K13" s="9"/>
      <c r="L13" s="9"/>
      <c r="M13" s="41"/>
      <c r="N13" s="9"/>
      <c r="O13" s="9"/>
      <c r="P13" s="9"/>
      <c r="Q13" s="9"/>
      <c r="R13" s="9"/>
      <c r="S13" s="9"/>
      <c r="T13" s="9"/>
      <c r="U13" s="9"/>
      <c r="V13" s="9"/>
      <c r="W13" s="10"/>
      <c r="X13" s="23"/>
    </row>
    <row r="14">
      <c r="A14" s="4"/>
      <c r="B14" s="52"/>
      <c r="C14" s="53" t="s">
        <v>13</v>
      </c>
      <c r="D14" s="6"/>
      <c r="E14" s="6"/>
      <c r="F14" s="6"/>
      <c r="G14" s="7"/>
      <c r="H14" s="54"/>
    </row>
    <row r="15">
      <c r="A15" s="4"/>
      <c r="B15" s="54"/>
      <c r="C15" s="8"/>
      <c r="D15" s="9"/>
      <c r="E15" s="9"/>
      <c r="F15" s="9"/>
      <c r="G15" s="10"/>
      <c r="H15" s="54"/>
    </row>
    <row r="16">
      <c r="A16" s="4"/>
      <c r="B16" s="54"/>
      <c r="C16" s="55"/>
      <c r="D16" s="56"/>
      <c r="E16" s="56"/>
      <c r="F16" s="57"/>
      <c r="G16" s="58"/>
      <c r="H16" s="54"/>
    </row>
    <row r="17">
      <c r="B17" s="54"/>
      <c r="C17" s="59" t="s">
        <v>14</v>
      </c>
      <c r="F17" s="60" t="s">
        <v>15</v>
      </c>
      <c r="G17" s="61"/>
      <c r="H17" s="54"/>
    </row>
    <row r="18">
      <c r="B18" s="54"/>
      <c r="C18" s="62"/>
      <c r="D18" s="41"/>
      <c r="E18" s="41"/>
      <c r="F18" s="41"/>
      <c r="G18" s="63"/>
      <c r="H18" s="54"/>
      <c r="K18" s="1"/>
    </row>
    <row r="19">
      <c r="C19" s="64"/>
      <c r="D19" s="44" t="s">
        <v>8</v>
      </c>
      <c r="E19" s="6"/>
      <c r="F19" s="6"/>
      <c r="G19" s="58"/>
      <c r="J19" s="1" t="s">
        <v>16</v>
      </c>
      <c r="K19" s="65"/>
    </row>
    <row r="20">
      <c r="C20" s="59" t="s">
        <v>9</v>
      </c>
      <c r="E20" s="25"/>
      <c r="F20" s="66" t="str">
        <f>CONCATENATE(D25:D28)</f>
        <v>0011110100000001</v>
      </c>
      <c r="G20" s="61"/>
      <c r="J20" s="1" t="s">
        <v>17</v>
      </c>
      <c r="K20" s="67" t="str">
        <f>LOOKUP(CONCATENATE(N8,O8,P8,Q8),L24:L39,M24:M39)</f>
        <v>A</v>
      </c>
    </row>
    <row r="21">
      <c r="C21" s="59" t="s">
        <v>18</v>
      </c>
      <c r="E21" s="25"/>
      <c r="F21" s="40">
        <f>SUM(D30,D31,D32,D33)</f>
        <v>12545</v>
      </c>
      <c r="G21" s="61"/>
      <c r="J21" s="1" t="s">
        <v>19</v>
      </c>
      <c r="K21" s="68" t="str">
        <f>LOOKUP(CONCATENATE(S8,T8,U8,V8),L24:L39,M24:M39)</f>
        <v>2</v>
      </c>
    </row>
    <row r="22">
      <c r="C22" s="62"/>
      <c r="D22" s="41"/>
      <c r="E22" s="41"/>
      <c r="F22" s="41"/>
      <c r="G22" s="63"/>
      <c r="K22" s="1"/>
    </row>
    <row r="23">
      <c r="H23" s="1" t="s">
        <v>20</v>
      </c>
      <c r="K23" s="1" t="s">
        <v>21</v>
      </c>
      <c r="L23" s="1" t="s">
        <v>22</v>
      </c>
      <c r="M23" s="1" t="s">
        <v>23</v>
      </c>
    </row>
    <row r="24">
      <c r="C24" s="69" t="s">
        <v>24</v>
      </c>
      <c r="D24" s="1" t="s">
        <v>25</v>
      </c>
      <c r="K24" s="70" t="s">
        <v>26</v>
      </c>
      <c r="L24" s="70" t="s">
        <v>27</v>
      </c>
      <c r="M24" s="70" t="s">
        <v>26</v>
      </c>
    </row>
    <row r="25">
      <c r="C25" s="71" t="str">
        <f>MID(F17,1,1)</f>
        <v>3</v>
      </c>
      <c r="D25" s="72" t="str">
        <f t="shared" ref="D25:D26" si="3">LOOKUP(C25,M24:M39,L24:L39)</f>
        <v>0011</v>
      </c>
      <c r="E25" s="73"/>
      <c r="F25" s="74"/>
      <c r="K25" s="75" t="s">
        <v>28</v>
      </c>
      <c r="L25" s="70" t="s">
        <v>29</v>
      </c>
      <c r="M25" s="70" t="s">
        <v>28</v>
      </c>
    </row>
    <row r="26">
      <c r="C26" s="1" t="str">
        <f>MID(F17,2,1)</f>
        <v>D</v>
      </c>
      <c r="D26" s="72" t="str">
        <f t="shared" si="3"/>
        <v>1101</v>
      </c>
      <c r="E26" s="73"/>
      <c r="K26" s="70" t="s">
        <v>30</v>
      </c>
      <c r="L26" s="70" t="s">
        <v>31</v>
      </c>
      <c r="M26" s="70" t="s">
        <v>30</v>
      </c>
    </row>
    <row r="27">
      <c r="C27" s="76" t="str">
        <f>MID(F17,3,1)</f>
        <v>0</v>
      </c>
      <c r="D27" s="72" t="str">
        <f>LOOKUP(C27,M24:M39,L24:L39)</f>
        <v>0000</v>
      </c>
      <c r="E27" s="73"/>
      <c r="K27" s="70" t="s">
        <v>32</v>
      </c>
      <c r="L27" s="70" t="s">
        <v>33</v>
      </c>
      <c r="M27" s="70" t="s">
        <v>32</v>
      </c>
    </row>
    <row r="28">
      <c r="C28" s="77" t="str">
        <f>MID(F17,4,1)</f>
        <v>1</v>
      </c>
      <c r="D28" s="72" t="str">
        <f>LOOKUP(C28,M24:M39,L24:L39)</f>
        <v>0001</v>
      </c>
      <c r="E28" s="73"/>
      <c r="K28" s="70" t="s">
        <v>34</v>
      </c>
      <c r="L28" s="70" t="s">
        <v>35</v>
      </c>
      <c r="M28" s="70" t="s">
        <v>34</v>
      </c>
    </row>
    <row r="29">
      <c r="B29" s="1" t="s">
        <v>36</v>
      </c>
      <c r="C29" s="1" t="s">
        <v>24</v>
      </c>
      <c r="D29" s="78" t="s">
        <v>37</v>
      </c>
      <c r="E29" s="73"/>
      <c r="F29" s="1" t="s">
        <v>38</v>
      </c>
      <c r="K29" s="70" t="s">
        <v>39</v>
      </c>
      <c r="L29" s="70" t="s">
        <v>40</v>
      </c>
      <c r="M29" s="70" t="s">
        <v>39</v>
      </c>
    </row>
    <row r="30">
      <c r="B30" s="79" t="str">
        <f>LOOKUP(C30,K23:K39)</f>
        <v>3</v>
      </c>
      <c r="C30" s="11" t="str">
        <f>MID(F17,1,1)</f>
        <v>3</v>
      </c>
      <c r="D30" s="73">
        <f>MULTIPLY(C30,F30)</f>
        <v>12288</v>
      </c>
      <c r="E30" s="73"/>
      <c r="F30" s="71">
        <f>POWER(16,3)</f>
        <v>4096</v>
      </c>
      <c r="K30" s="70" t="s">
        <v>41</v>
      </c>
      <c r="L30" s="70" t="s">
        <v>42</v>
      </c>
      <c r="M30" s="70" t="s">
        <v>41</v>
      </c>
    </row>
    <row r="31">
      <c r="B31" s="79" t="str">
        <f>LOOKUP(C31,K24:K39)</f>
        <v>15</v>
      </c>
      <c r="C31" s="1" t="str">
        <f>MID(F17,2,1)</f>
        <v>D</v>
      </c>
      <c r="D31" s="73">
        <f>MULTIPLY(B33,F31)</f>
        <v>256</v>
      </c>
      <c r="E31" s="73"/>
      <c r="F31" s="71">
        <f>POWER(16,2)</f>
        <v>256</v>
      </c>
      <c r="K31" s="70" t="s">
        <v>43</v>
      </c>
      <c r="L31" s="70" t="s">
        <v>44</v>
      </c>
      <c r="M31" s="70" t="s">
        <v>43</v>
      </c>
    </row>
    <row r="32">
      <c r="B32" s="79" t="str">
        <f>LOOKUP(C32,K24:K39)</f>
        <v>0</v>
      </c>
      <c r="C32" s="11" t="str">
        <f>MID(F17,3,1)</f>
        <v>0</v>
      </c>
      <c r="D32" s="73">
        <f>MULTIPLY(C32,F32)</f>
        <v>0</v>
      </c>
      <c r="E32" s="73"/>
      <c r="F32" s="71">
        <f>POWER(16,1)</f>
        <v>16</v>
      </c>
      <c r="K32" s="70" t="s">
        <v>45</v>
      </c>
      <c r="L32" s="70" t="s">
        <v>46</v>
      </c>
      <c r="M32" s="70" t="s">
        <v>45</v>
      </c>
    </row>
    <row r="33">
      <c r="B33" s="80" t="str">
        <f>LOOKUP(C33,K24:K39)</f>
        <v>1</v>
      </c>
      <c r="C33" s="71" t="str">
        <f>MID(F17,4,1)</f>
        <v>1</v>
      </c>
      <c r="D33" s="73">
        <f>MULTIPLY(B33,F33)</f>
        <v>1</v>
      </c>
      <c r="E33" s="73"/>
      <c r="F33" s="71">
        <f>POWER(16,0)</f>
        <v>1</v>
      </c>
      <c r="K33" s="70" t="s">
        <v>47</v>
      </c>
      <c r="L33" s="70" t="s">
        <v>48</v>
      </c>
      <c r="M33" s="70" t="s">
        <v>47</v>
      </c>
    </row>
    <row r="34">
      <c r="D34" s="78"/>
      <c r="E34" s="73"/>
      <c r="K34" s="70" t="s">
        <v>49</v>
      </c>
      <c r="L34" s="70" t="s">
        <v>50</v>
      </c>
      <c r="M34" s="81" t="s">
        <v>51</v>
      </c>
    </row>
    <row r="35">
      <c r="D35" s="11"/>
      <c r="K35" s="70" t="s">
        <v>52</v>
      </c>
      <c r="L35" s="70" t="s">
        <v>53</v>
      </c>
      <c r="M35" s="81" t="s">
        <v>54</v>
      </c>
    </row>
    <row r="36">
      <c r="K36" s="70" t="s">
        <v>55</v>
      </c>
      <c r="L36" s="70" t="s">
        <v>56</v>
      </c>
      <c r="M36" s="81" t="s">
        <v>57</v>
      </c>
    </row>
    <row r="37">
      <c r="K37" s="70" t="s">
        <v>58</v>
      </c>
      <c r="L37" s="70" t="s">
        <v>59</v>
      </c>
      <c r="M37" s="81" t="s">
        <v>60</v>
      </c>
    </row>
    <row r="38">
      <c r="K38" s="70" t="s">
        <v>61</v>
      </c>
      <c r="L38" s="70" t="s">
        <v>62</v>
      </c>
      <c r="M38" s="81" t="s">
        <v>63</v>
      </c>
    </row>
    <row r="39">
      <c r="K39" s="70" t="s">
        <v>64</v>
      </c>
      <c r="L39" s="70" t="s">
        <v>65</v>
      </c>
      <c r="M39" s="81" t="s">
        <v>66</v>
      </c>
    </row>
    <row r="40">
      <c r="K40" s="82"/>
      <c r="L40" s="82"/>
      <c r="M40" s="82"/>
    </row>
    <row r="43">
      <c r="G43" s="1" t="s">
        <v>67</v>
      </c>
    </row>
    <row r="45">
      <c r="G45" s="83"/>
      <c r="H45" s="84">
        <v>2048.0</v>
      </c>
      <c r="I45" s="84">
        <v>1024.0</v>
      </c>
      <c r="J45" s="84">
        <v>512.0</v>
      </c>
      <c r="K45" s="85">
        <v>256.0</v>
      </c>
      <c r="L45" s="85">
        <v>128.0</v>
      </c>
      <c r="M45" s="85">
        <v>64.0</v>
      </c>
      <c r="N45" s="85">
        <v>32.0</v>
      </c>
      <c r="O45" s="85">
        <v>16.0</v>
      </c>
      <c r="P45" s="85">
        <v>8.0</v>
      </c>
      <c r="Q45" s="85">
        <v>4.0</v>
      </c>
      <c r="R45" s="85">
        <v>2.0</v>
      </c>
      <c r="S45" s="85">
        <v>1.0</v>
      </c>
      <c r="T45" s="73"/>
      <c r="U45" s="73"/>
      <c r="V45" s="73"/>
      <c r="W45" s="73"/>
    </row>
    <row r="46">
      <c r="G46" s="86">
        <f>F6</f>
        <v>12</v>
      </c>
      <c r="H46" s="86">
        <f>MOD(G46,H45)</f>
        <v>12</v>
      </c>
      <c r="I46" s="83">
        <f>MOD(G46,I45)</f>
        <v>12</v>
      </c>
      <c r="J46" s="83">
        <f>MOD(G46,J45)</f>
        <v>12</v>
      </c>
      <c r="K46" s="83">
        <f>MOD(G46,K45)</f>
        <v>12</v>
      </c>
      <c r="L46" s="83">
        <f>MOD(G46,L45)</f>
        <v>12</v>
      </c>
      <c r="M46" s="83">
        <f>MOD(G46,M45)</f>
        <v>12</v>
      </c>
      <c r="N46" s="83">
        <f>MOD(G46,N45)</f>
        <v>12</v>
      </c>
      <c r="O46" s="83">
        <f>MOD(G46,O45)</f>
        <v>12</v>
      </c>
      <c r="P46" s="83">
        <f>MOD(G46,P45)</f>
        <v>4</v>
      </c>
      <c r="Q46" s="83">
        <f>MOD(G46,Q45)</f>
        <v>0</v>
      </c>
      <c r="R46" s="83">
        <f>MOD(G46,R45)</f>
        <v>0</v>
      </c>
      <c r="S46" s="83">
        <f>MOD(G46,S45)</f>
        <v>0</v>
      </c>
    </row>
    <row r="47">
      <c r="G47" s="83"/>
      <c r="H47" s="83">
        <f t="shared" ref="H47:S47" si="4">IF(G46=H46,0,1)</f>
        <v>0</v>
      </c>
      <c r="I47" s="83">
        <f t="shared" si="4"/>
        <v>0</v>
      </c>
      <c r="J47" s="83">
        <f t="shared" si="4"/>
        <v>0</v>
      </c>
      <c r="K47" s="83">
        <f t="shared" si="4"/>
        <v>0</v>
      </c>
      <c r="L47" s="83">
        <f t="shared" si="4"/>
        <v>0</v>
      </c>
      <c r="M47" s="83">
        <f t="shared" si="4"/>
        <v>0</v>
      </c>
      <c r="N47" s="83">
        <f t="shared" si="4"/>
        <v>0</v>
      </c>
      <c r="O47" s="83">
        <f t="shared" si="4"/>
        <v>0</v>
      </c>
      <c r="P47" s="83">
        <f t="shared" si="4"/>
        <v>1</v>
      </c>
      <c r="Q47" s="83">
        <f t="shared" si="4"/>
        <v>1</v>
      </c>
      <c r="R47" s="83">
        <f t="shared" si="4"/>
        <v>0</v>
      </c>
      <c r="S47" s="83">
        <f t="shared" si="4"/>
        <v>0</v>
      </c>
    </row>
  </sheetData>
  <mergeCells count="20">
    <mergeCell ref="C3:G4"/>
    <mergeCell ref="I7:L9"/>
    <mergeCell ref="C9:D9"/>
    <mergeCell ref="C10:D10"/>
    <mergeCell ref="I5:X6"/>
    <mergeCell ref="I10:L10"/>
    <mergeCell ref="M10:W10"/>
    <mergeCell ref="C8:G8"/>
    <mergeCell ref="D19:F19"/>
    <mergeCell ref="C20:D20"/>
    <mergeCell ref="C21:D21"/>
    <mergeCell ref="I11:L11"/>
    <mergeCell ref="E11:G11"/>
    <mergeCell ref="M11:V11"/>
    <mergeCell ref="M12:V12"/>
    <mergeCell ref="C14:G15"/>
    <mergeCell ref="C17:E17"/>
    <mergeCell ref="I12:L12"/>
    <mergeCell ref="I13:L13"/>
    <mergeCell ref="M13:W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